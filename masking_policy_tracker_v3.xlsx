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paulambasu/Downloads/jira/files/"/>
    </mc:Choice>
  </mc:AlternateContent>
  <xr:revisionPtr revIDLastSave="0" documentId="13_ncr:1_{AF141F40-32DA-4D47-A869-905BE2B485FC}" xr6:coauthVersionLast="47" xr6:coauthVersionMax="47" xr10:uidLastSave="{00000000-0000-0000-0000-000000000000}"/>
  <bookViews>
    <workbookView xWindow="0" yWindow="620" windowWidth="67200" windowHeight="25940" tabRatio="500" xr2:uid="{00000000-000D-0000-FFFF-FFFF00000000}"/>
  </bookViews>
  <sheets>
    <sheet name="Story Tracker" sheetId="1" r:id="rId1"/>
    <sheet name="Dependency Map" sheetId="2" r:id="rId2"/>
    <sheet name="Action Item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7" i="1" l="1"/>
  <c r="M27" i="1"/>
  <c r="K27" i="1"/>
  <c r="I27" i="1"/>
  <c r="G27" i="1"/>
  <c r="E27" i="1"/>
  <c r="C27" i="1"/>
  <c r="A27" i="1"/>
</calcChain>
</file>

<file path=xl/sharedStrings.xml><?xml version="1.0" encoding="utf-8"?>
<sst xmlns="http://schemas.openxmlformats.org/spreadsheetml/2006/main" count="405" uniqueCount="179">
  <si>
    <t>Databricks Unity Catalog — Masking Policy Implementation Tracker</t>
  </si>
  <si>
    <t>Project: Redshift → Unity Catalog Migration</t>
  </si>
  <si>
    <t>Paulam Basu (Lead) | Balaji (Dev) | Scott (Architect) | Nathan | Rahul | DG/Governance</t>
  </si>
  <si>
    <t>Last Updated: April 01, 2026</t>
  </si>
  <si>
    <t>🟣 DG Requirement</t>
  </si>
  <si>
    <t>🟢 Pilot Story</t>
  </si>
  <si>
    <t>🔵 Impl Story</t>
  </si>
  <si>
    <t>🔴 High  🟠 Medium</t>
  </si>
  <si>
    <t>Story ID</t>
  </si>
  <si>
    <t>Type</t>
  </si>
  <si>
    <t>Story Title</t>
  </si>
  <si>
    <t>Priority</t>
  </si>
  <si>
    <t>Owner</t>
  </si>
  <si>
    <t>Collaborators</t>
  </si>
  <si>
    <t>Depends On</t>
  </si>
  <si>
    <t>Blocks</t>
  </si>
  <si>
    <t>Sprint</t>
  </si>
  <si>
    <t>Pts</t>
  </si>
  <si>
    <t>Start Date</t>
  </si>
  <si>
    <t>Target Date</t>
  </si>
  <si>
    <t>Status</t>
  </si>
  <si>
    <t>Notes</t>
  </si>
  <si>
    <t>DG-001</t>
  </si>
  <si>
    <t>DG Req</t>
  </si>
  <si>
    <t>Finalize Masking Requirements – Hashing for Joinable Fields</t>
  </si>
  <si>
    <t>High</t>
  </si>
  <si>
    <t>Nathan</t>
  </si>
  <si>
    <t>Paulam Basu, Scott</t>
  </si>
  <si>
    <t>MP-001,MP-002,MP-003</t>
  </si>
  <si>
    <t>Sprint 1</t>
  </si>
  <si>
    <t>2025-04-07</t>
  </si>
  <si>
    <t>2025-04-17</t>
  </si>
  <si>
    <t>Not Started</t>
  </si>
  <si>
    <t>Action item: Nathan. Distinguish joinable (hash) vs non-joinable (mask) vs free-text (redact-all)</t>
  </si>
  <si>
    <t>DG-002</t>
  </si>
  <si>
    <t>Confirm DG Metadata Catalog Ownership &amp; Access Model</t>
  </si>
  <si>
    <t>Governance</t>
  </si>
  <si>
    <t>Paulam Basu</t>
  </si>
  <si>
    <t>MP-001,MP-004</t>
  </si>
  <si>
    <t>Action item: Governance. Functions/tags owned centrally in DG catalog; engineers tag only</t>
  </si>
  <si>
    <t>DG-003</t>
  </si>
  <si>
    <t>Test Auto-Classification for Free-Text Field Tagging</t>
  </si>
  <si>
    <t>Medium</t>
  </si>
  <si>
    <t>Rahul</t>
  </si>
  <si>
    <t>MP-003</t>
  </si>
  <si>
    <t>2025-04-21</t>
  </si>
  <si>
    <t>Action item: Rahul/Governance. Validate redact-all triggers on auto-classified free-text cols</t>
  </si>
  <si>
    <t>DG-004</t>
  </si>
  <si>
    <t>Review Hashing Strength – Salting with Security/ITRC</t>
  </si>
  <si>
    <t>Scott</t>
  </si>
  <si>
    <t>MP-002</t>
  </si>
  <si>
    <t>Action item: Rahul/Scott. Determine salting requirement and approved hashing algorithm</t>
  </si>
  <si>
    <t>PILOT-001</t>
  </si>
  <si>
    <t>Pilot</t>
  </si>
  <si>
    <t>Pilot: Single Column Masking End-to-End (Function→Tag→Policy)</t>
  </si>
  <si>
    <t>DG-001,DG-002</t>
  </si>
  <si>
    <t>DG-REVIEW-001</t>
  </si>
  <si>
    <t>Sprint 2</t>
  </si>
  <si>
    <t>2025-05-05</t>
  </si>
  <si>
    <t>Action item: Paulam/Scott/Alok. ONE column (e.g. email). Full pattern: function→tag→policy. Balaji implements</t>
  </si>
  <si>
    <t>DG Review &amp; Sign-off on Pilot Column Masking</t>
  </si>
  <si>
    <t>MP-005</t>
  </si>
  <si>
    <t>2025-05-12</t>
  </si>
  <si>
    <t>Gate: DG must sign off on pilot before full rollout. Validates pattern, hash output, policy binding</t>
  </si>
  <si>
    <t>MP-001</t>
  </si>
  <si>
    <t>Story</t>
  </si>
  <si>
    <t>PII Column Inventory &amp; Classification (All Tables)</t>
  </si>
  <si>
    <t>Balaji</t>
  </si>
  <si>
    <t>MP-002,MP-003</t>
  </si>
  <si>
    <t>2025-04-28</t>
  </si>
  <si>
    <t>Engineers tag columns only; DG owns functions centrally per DG-002</t>
  </si>
  <si>
    <t>Deterministic Hashing Functions – Joinable Fields (SSN, Email)</t>
  </si>
  <si>
    <t>DG-001,DG-004,MP-001</t>
  </si>
  <si>
    <t>MP-004</t>
  </si>
  <si>
    <t>Sprint 3</t>
  </si>
  <si>
    <t>Full deterministic hash only — no partial reveal. Salt per DG-004 approval</t>
  </si>
  <si>
    <t>Masking &amp; Redact-All Functions – Non-Joinable &amp; Free-Text Fields</t>
  </si>
  <si>
    <t>DG-001,DG-003,MP-001</t>
  </si>
  <si>
    <t>Single redact-all for free-text; standard mask for non-joinable PII</t>
  </si>
  <si>
    <t>ABAC Tag-Driven Policy Binding (Per Catalog)</t>
  </si>
  <si>
    <t>DG-002,MP-002,MP-003</t>
  </si>
  <si>
    <t>2025-05-26</t>
  </si>
  <si>
    <t>Pattern: Function + Tag + Policy per catalog. ALTER TABLE ... SET MASK bindings</t>
  </si>
  <si>
    <t>Full PII Column Masking Rollout – All Tables</t>
  </si>
  <si>
    <t>DG-REVIEW-001,MP-004</t>
  </si>
  <si>
    <t>MP-006,MP-007</t>
  </si>
  <si>
    <t>Sprint 4</t>
  </si>
  <si>
    <t>2025-06-09</t>
  </si>
  <si>
    <t>Unlocked only after DG-REVIEW-001 pilot sign-off. Full rollout across all PII columns</t>
  </si>
  <si>
    <t>MP-006</t>
  </si>
  <si>
    <t>Join Correctness Validation – Hashed Joinable Fields</t>
  </si>
  <si>
    <t>MP-008</t>
  </si>
  <si>
    <t>2025-06-02</t>
  </si>
  <si>
    <t>2025-06-16</t>
  </si>
  <si>
    <t>Validate consistent hash enables correct downstream joins. Pre/post reconciliation</t>
  </si>
  <si>
    <t>MP-007</t>
  </si>
  <si>
    <t>Role &amp; Group Mapping – Masking Exemptions &amp; S3 Access Disable</t>
  </si>
  <si>
    <t>Paulam Basu, DG Team</t>
  </si>
  <si>
    <t>UC groups + disable direct S3 access; all access via Unity Catalog only</t>
  </si>
  <si>
    <t>DLT Pipeline Masking Validation</t>
  </si>
  <si>
    <t>MP-009</t>
  </si>
  <si>
    <t>DLT-Meta pipelines respect UC masking; silver/gold views validated</t>
  </si>
  <si>
    <t>DABs Packaging for Multi-Environment Deployment</t>
  </si>
  <si>
    <t>MP-010</t>
  </si>
  <si>
    <t>Sprint 5</t>
  </si>
  <si>
    <t>2025-06-23</t>
  </si>
  <si>
    <t>Bundle masking functions + policies for dev/qa/prod; Scott arch review</t>
  </si>
  <si>
    <t>Audit Logging &amp; system.access Dashboard</t>
  </si>
  <si>
    <t>Balaji, DG Team</t>
  </si>
  <si>
    <t>MP-011</t>
  </si>
  <si>
    <t>2025-06-30</t>
  </si>
  <si>
    <t>Lakeview: hash vs mask vs bypass ratio, PII access events, anomaly alerts</t>
  </si>
  <si>
    <t>Team Working Session – Iterate &amp; Scale Across Datasets</t>
  </si>
  <si>
    <t>All</t>
  </si>
  <si>
    <t>MP-009,MP-010</t>
  </si>
  <si>
    <t>MP-012</t>
  </si>
  <si>
    <t>2025-07-07</t>
  </si>
  <si>
    <t>Recurring session. Align hashing vs masking decisions consistently across all datasets</t>
  </si>
  <si>
    <t>UAT &amp; Data Governance Final Sign-off</t>
  </si>
  <si>
    <t>Scott, Paulam Basu, Balaji</t>
  </si>
  <si>
    <t>2025-07-14</t>
  </si>
  <si>
    <t>Full UAT: joinable/non-joinable/free-text types, all roles. Scott arch sign-off</t>
  </si>
  <si>
    <t>TRACKER SUMMARY</t>
  </si>
  <si>
    <t>Total Stories</t>
  </si>
  <si>
    <t>Total Story Points</t>
  </si>
  <si>
    <t>DG Req Stories</t>
  </si>
  <si>
    <t>Pilot Stories</t>
  </si>
  <si>
    <t>Impl Stories</t>
  </si>
  <si>
    <t>In Progress</t>
  </si>
  <si>
    <t>Blocked</t>
  </si>
  <si>
    <t>Story Dependency Map — Masking Policy Implementation</t>
  </si>
  <si>
    <t>Depends On (must complete first)</t>
  </si>
  <si>
    <t>Blocks (unblocks these)</t>
  </si>
  <si>
    <t>Finalize Masking Requirements</t>
  </si>
  <si>
    <t>— (No dependency)</t>
  </si>
  <si>
    <t>MP-001, MP-002, MP-003</t>
  </si>
  <si>
    <t>Confirm DG Metadata Catalog Ownership</t>
  </si>
  <si>
    <t>MP-001, MP-004</t>
  </si>
  <si>
    <t>Test Auto-Classification Free-Text Tagging</t>
  </si>
  <si>
    <t>Review Hashing Strength – Salting</t>
  </si>
  <si>
    <t>Rahul / Scott</t>
  </si>
  <si>
    <t>Pilot: Single Column End-to-End</t>
  </si>
  <si>
    <t>DG-001, DG-002</t>
  </si>
  <si>
    <t>Paulam Basu / Balaji</t>
  </si>
  <si>
    <t>DG Review &amp; Sign-off on Pilot</t>
  </si>
  <si>
    <t>MP-005 (full rollout gate)</t>
  </si>
  <si>
    <t>PII Column Inventory &amp; Classification</t>
  </si>
  <si>
    <t>MP-002, MP-003</t>
  </si>
  <si>
    <t>Deterministic Hashing – Joinable Fields</t>
  </si>
  <si>
    <t>DG-001, DG-004, MP-001</t>
  </si>
  <si>
    <t>Masking &amp; Redact-All – Non-Joinable/Free-Text</t>
  </si>
  <si>
    <t>DG-001, DG-003, MP-001</t>
  </si>
  <si>
    <t>ABAC Tag-Driven Policy Binding</t>
  </si>
  <si>
    <t>DG-002, MP-002, MP-003</t>
  </si>
  <si>
    <t>Full PII Rollout – All Tables</t>
  </si>
  <si>
    <t>DG-REVIEW-001, MP-004</t>
  </si>
  <si>
    <t>MP-006, MP-007</t>
  </si>
  <si>
    <t>Join Correctness Validation</t>
  </si>
  <si>
    <t>Role &amp; Group Mapping + S3 Access Disable</t>
  </si>
  <si>
    <t>DABs Multi-Env Deployment</t>
  </si>
  <si>
    <t>Team Working Session – Iterate &amp; Scale</t>
  </si>
  <si>
    <t>MP-009, MP-010</t>
  </si>
  <si>
    <t>UAT &amp; DG Final Sign-off</t>
  </si>
  <si>
    <t>— (Final story)</t>
  </si>
  <si>
    <t>Action Items from Meeting — Masking Policy</t>
  </si>
  <si>
    <t>#</t>
  </si>
  <si>
    <t>Action Item</t>
  </si>
  <si>
    <t>Linked Story</t>
  </si>
  <si>
    <t>Update and share final masking requirements (hashing for joinable fields)</t>
  </si>
  <si>
    <t>Open</t>
  </si>
  <si>
    <t>Pilot one PII field end-to-end: function → tag → policy</t>
  </si>
  <si>
    <t>Paulam / Scott / Alok</t>
  </si>
  <si>
    <t>Confirm DG metadata catalog ownership and access model</t>
  </si>
  <si>
    <t>Test auto-classification, especially free-text tagging</t>
  </si>
  <si>
    <t>Rahul / Governance</t>
  </si>
  <si>
    <t>Review hashing strength (salting) with Security/ITRC</t>
  </si>
  <si>
    <t>Set recurring working session to iterate and scale</t>
  </si>
  <si>
    <t>Team</t>
  </si>
  <si>
    <t>Balaji, 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</si>
</sst>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3"/>
      <color rgb="FF1F3864"/>
      <name val="Arial"/>
      <family val="2"/>
    </font>
    <font>
      <b/>
      <sz val="13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4A235A"/>
        <bgColor rgb="FF333399"/>
      </patternFill>
    </fill>
    <fill>
      <patternFill patternType="solid">
        <fgColor rgb="FF117A65"/>
        <bgColor rgb="FF008080"/>
      </patternFill>
    </fill>
    <fill>
      <patternFill patternType="solid">
        <fgColor rgb="FF555555"/>
        <bgColor rgb="FF2E5FA3"/>
      </patternFill>
    </fill>
    <fill>
      <patternFill patternType="solid">
        <fgColor rgb="FFFFFFFF"/>
        <bgColor rgb="FFF4F6F7"/>
      </patternFill>
    </fill>
    <fill>
      <patternFill patternType="solid">
        <fgColor rgb="FFC0392B"/>
        <bgColor rgb="FF993366"/>
      </patternFill>
    </fill>
    <fill>
      <patternFill patternType="solid">
        <fgColor rgb="FF717D7E"/>
        <bgColor rgb="FF969696"/>
      </patternFill>
    </fill>
    <fill>
      <patternFill patternType="solid">
        <fgColor rgb="FFF4F6F7"/>
        <bgColor rgb="FFFFFFFF"/>
      </patternFill>
    </fill>
    <fill>
      <patternFill patternType="solid">
        <fgColor rgb="FFE67E22"/>
        <bgColor rgb="FFFF99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9" fillId="2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BFBFBF"/>
      <rgbColor rgb="FF717D7E"/>
      <rgbColor rgb="FF9999FF"/>
      <rgbColor rgb="FF993366"/>
      <rgbColor rgb="FFF4F6F7"/>
      <rgbColor rgb="FFCCFF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555555"/>
      <rgbColor rgb="FF969696"/>
      <rgbColor rgb="FF1F3864"/>
      <rgbColor rgb="FF339966"/>
      <rgbColor rgb="FF003300"/>
      <rgbColor rgb="FF333300"/>
      <rgbColor rgb="FFC0392B"/>
      <rgbColor rgb="FF993366"/>
      <rgbColor rgb="FF333399"/>
      <rgbColor rgb="FF4A23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zoomScaleNormal="100" workbookViewId="0">
      <pane ySplit="4" topLeftCell="A5" activePane="bottomLeft" state="frozen"/>
      <selection pane="bottomLeft" activeCell="L9" sqref="L9"/>
    </sheetView>
  </sheetViews>
  <sheetFormatPr baseColWidth="10" defaultColWidth="8.6640625" defaultRowHeight="15" x14ac:dyDescent="0.2"/>
  <cols>
    <col min="1" max="1" width="14" customWidth="1"/>
    <col min="2" max="2" width="12" customWidth="1"/>
    <col min="3" max="3" width="38" customWidth="1"/>
    <col min="4" max="4" width="10" customWidth="1"/>
    <col min="5" max="5" width="14" customWidth="1"/>
    <col min="6" max="6" width="26" customWidth="1"/>
    <col min="7" max="8" width="22" customWidth="1"/>
    <col min="9" max="9" width="10" customWidth="1"/>
    <col min="10" max="10" width="6" customWidth="1"/>
    <col min="11" max="12" width="13" customWidth="1"/>
    <col min="13" max="13" width="14" customWidth="1"/>
    <col min="14" max="14" width="36" customWidth="1"/>
  </cols>
  <sheetData>
    <row r="1" spans="1:14" ht="33.75" customHeight="1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8" customHeight="1" x14ac:dyDescent="0.2">
      <c r="A2" s="9" t="s">
        <v>1</v>
      </c>
      <c r="B2" s="9"/>
      <c r="C2" s="9"/>
      <c r="D2" s="9"/>
      <c r="E2" s="9" t="s">
        <v>2</v>
      </c>
      <c r="F2" s="9"/>
      <c r="G2" s="9"/>
      <c r="H2" s="9"/>
      <c r="I2" s="9"/>
      <c r="J2" s="9" t="s">
        <v>3</v>
      </c>
      <c r="K2" s="9"/>
      <c r="L2" s="9"/>
      <c r="M2" s="9"/>
      <c r="N2" s="9"/>
    </row>
    <row r="3" spans="1:14" ht="18" customHeight="1" x14ac:dyDescent="0.2">
      <c r="A3" s="8" t="s">
        <v>4</v>
      </c>
      <c r="B3" s="8"/>
      <c r="C3" s="7" t="s">
        <v>5</v>
      </c>
      <c r="D3" s="7"/>
      <c r="E3" s="6" t="s">
        <v>6</v>
      </c>
      <c r="F3" s="6"/>
      <c r="G3" s="5" t="s">
        <v>7</v>
      </c>
      <c r="H3" s="5"/>
    </row>
    <row r="4" spans="1:14" ht="21.75" customHeight="1" x14ac:dyDescent="0.2">
      <c r="A4" s="11" t="s">
        <v>8</v>
      </c>
      <c r="B4" s="11" t="s">
        <v>9</v>
      </c>
      <c r="C4" s="11" t="s">
        <v>10</v>
      </c>
      <c r="D4" s="11" t="s">
        <v>11</v>
      </c>
      <c r="E4" s="11" t="s">
        <v>12</v>
      </c>
      <c r="F4" s="11" t="s">
        <v>13</v>
      </c>
      <c r="G4" s="11" t="s">
        <v>14</v>
      </c>
      <c r="H4" s="11" t="s">
        <v>15</v>
      </c>
      <c r="I4" s="11" t="s">
        <v>16</v>
      </c>
      <c r="J4" s="11" t="s">
        <v>17</v>
      </c>
      <c r="K4" s="11" t="s">
        <v>18</v>
      </c>
      <c r="L4" s="11" t="s">
        <v>19</v>
      </c>
      <c r="M4" s="11" t="s">
        <v>20</v>
      </c>
      <c r="N4" s="11" t="s">
        <v>21</v>
      </c>
    </row>
    <row r="5" spans="1:14" ht="30" customHeight="1" x14ac:dyDescent="0.2">
      <c r="A5" s="12" t="s">
        <v>22</v>
      </c>
      <c r="B5" s="13" t="s">
        <v>23</v>
      </c>
      <c r="C5" s="14" t="s">
        <v>24</v>
      </c>
      <c r="D5" s="15" t="s">
        <v>25</v>
      </c>
      <c r="E5" s="16" t="s">
        <v>26</v>
      </c>
      <c r="F5" s="14" t="s">
        <v>27</v>
      </c>
      <c r="G5" s="14"/>
      <c r="H5" s="14" t="s">
        <v>28</v>
      </c>
      <c r="I5" s="16" t="s">
        <v>29</v>
      </c>
      <c r="J5" s="16">
        <v>3</v>
      </c>
      <c r="K5" s="16" t="s">
        <v>30</v>
      </c>
      <c r="L5" s="16" t="s">
        <v>31</v>
      </c>
      <c r="M5" s="17" t="s">
        <v>32</v>
      </c>
      <c r="N5" s="14" t="s">
        <v>33</v>
      </c>
    </row>
    <row r="6" spans="1:14" ht="30" customHeight="1" x14ac:dyDescent="0.2">
      <c r="A6" s="18" t="s">
        <v>34</v>
      </c>
      <c r="B6" s="13" t="s">
        <v>23</v>
      </c>
      <c r="C6" s="19" t="s">
        <v>35</v>
      </c>
      <c r="D6" s="15" t="s">
        <v>25</v>
      </c>
      <c r="E6" s="20" t="s">
        <v>36</v>
      </c>
      <c r="F6" s="19" t="s">
        <v>37</v>
      </c>
      <c r="G6" s="19"/>
      <c r="H6" s="19" t="s">
        <v>38</v>
      </c>
      <c r="I6" s="20" t="s">
        <v>29</v>
      </c>
      <c r="J6" s="20">
        <v>3</v>
      </c>
      <c r="K6" s="20" t="s">
        <v>30</v>
      </c>
      <c r="L6" s="20" t="s">
        <v>31</v>
      </c>
      <c r="M6" s="17" t="s">
        <v>32</v>
      </c>
      <c r="N6" s="19" t="s">
        <v>39</v>
      </c>
    </row>
    <row r="7" spans="1:14" ht="30" customHeight="1" x14ac:dyDescent="0.2">
      <c r="A7" s="12" t="s">
        <v>40</v>
      </c>
      <c r="B7" s="13" t="s">
        <v>23</v>
      </c>
      <c r="C7" s="14" t="s">
        <v>41</v>
      </c>
      <c r="D7" s="21" t="s">
        <v>42</v>
      </c>
      <c r="E7" s="16" t="s">
        <v>43</v>
      </c>
      <c r="F7" s="14" t="s">
        <v>36</v>
      </c>
      <c r="G7" s="14"/>
      <c r="H7" s="14" t="s">
        <v>44</v>
      </c>
      <c r="I7" s="16" t="s">
        <v>29</v>
      </c>
      <c r="J7" s="16">
        <v>5</v>
      </c>
      <c r="K7" s="16" t="s">
        <v>30</v>
      </c>
      <c r="L7" s="16" t="s">
        <v>45</v>
      </c>
      <c r="M7" s="17" t="s">
        <v>32</v>
      </c>
      <c r="N7" s="14" t="s">
        <v>46</v>
      </c>
    </row>
    <row r="8" spans="1:14" ht="30" customHeight="1" x14ac:dyDescent="0.2">
      <c r="A8" s="18" t="s">
        <v>47</v>
      </c>
      <c r="B8" s="13" t="s">
        <v>23</v>
      </c>
      <c r="C8" s="19" t="s">
        <v>48</v>
      </c>
      <c r="D8" s="15" t="s">
        <v>25</v>
      </c>
      <c r="E8" s="20" t="s">
        <v>43</v>
      </c>
      <c r="F8" s="19" t="s">
        <v>49</v>
      </c>
      <c r="G8" s="19"/>
      <c r="H8" s="19" t="s">
        <v>50</v>
      </c>
      <c r="I8" s="20" t="s">
        <v>29</v>
      </c>
      <c r="J8" s="20">
        <v>3</v>
      </c>
      <c r="K8" s="20" t="s">
        <v>30</v>
      </c>
      <c r="L8" s="20" t="s">
        <v>31</v>
      </c>
      <c r="M8" s="17" t="s">
        <v>32</v>
      </c>
      <c r="N8" s="19" t="s">
        <v>51</v>
      </c>
    </row>
    <row r="9" spans="1:14" ht="42" x14ac:dyDescent="0.2">
      <c r="A9" s="12" t="s">
        <v>52</v>
      </c>
      <c r="B9" s="22" t="s">
        <v>53</v>
      </c>
      <c r="C9" s="14" t="s">
        <v>54</v>
      </c>
      <c r="D9" s="15" t="s">
        <v>25</v>
      </c>
      <c r="E9" s="16" t="s">
        <v>37</v>
      </c>
      <c r="F9" s="14" t="s">
        <v>178</v>
      </c>
      <c r="G9" s="14" t="s">
        <v>55</v>
      </c>
      <c r="H9" s="14" t="s">
        <v>56</v>
      </c>
      <c r="I9" s="16" t="s">
        <v>57</v>
      </c>
      <c r="J9" s="16">
        <v>8</v>
      </c>
      <c r="K9" s="16" t="s">
        <v>45</v>
      </c>
      <c r="L9" s="16" t="s">
        <v>58</v>
      </c>
      <c r="M9" s="17" t="s">
        <v>32</v>
      </c>
      <c r="N9" s="14" t="s">
        <v>59</v>
      </c>
    </row>
    <row r="10" spans="1:14" ht="30" customHeight="1" x14ac:dyDescent="0.2">
      <c r="A10" s="18" t="s">
        <v>56</v>
      </c>
      <c r="B10" s="13" t="s">
        <v>23</v>
      </c>
      <c r="C10" s="19" t="s">
        <v>60</v>
      </c>
      <c r="D10" s="15" t="s">
        <v>25</v>
      </c>
      <c r="E10" s="20" t="s">
        <v>36</v>
      </c>
      <c r="F10" s="19" t="s">
        <v>27</v>
      </c>
      <c r="G10" s="19" t="s">
        <v>52</v>
      </c>
      <c r="H10" s="19" t="s">
        <v>61</v>
      </c>
      <c r="I10" s="20" t="s">
        <v>57</v>
      </c>
      <c r="J10" s="20">
        <v>2</v>
      </c>
      <c r="K10" s="20" t="s">
        <v>58</v>
      </c>
      <c r="L10" s="20" t="s">
        <v>62</v>
      </c>
      <c r="M10" s="17" t="s">
        <v>32</v>
      </c>
      <c r="N10" s="19" t="s">
        <v>63</v>
      </c>
    </row>
    <row r="11" spans="1:14" ht="30" customHeight="1" x14ac:dyDescent="0.2">
      <c r="A11" s="12" t="s">
        <v>64</v>
      </c>
      <c r="B11" s="23" t="s">
        <v>65</v>
      </c>
      <c r="C11" s="14" t="s">
        <v>66</v>
      </c>
      <c r="D11" s="15" t="s">
        <v>25</v>
      </c>
      <c r="E11" s="16" t="s">
        <v>37</v>
      </c>
      <c r="F11" s="14" t="s">
        <v>67</v>
      </c>
      <c r="G11" s="14" t="s">
        <v>55</v>
      </c>
      <c r="H11" s="14" t="s">
        <v>68</v>
      </c>
      <c r="I11" s="16" t="s">
        <v>57</v>
      </c>
      <c r="J11" s="16">
        <v>5</v>
      </c>
      <c r="K11" s="16" t="s">
        <v>45</v>
      </c>
      <c r="L11" s="16" t="s">
        <v>69</v>
      </c>
      <c r="M11" s="17" t="s">
        <v>32</v>
      </c>
      <c r="N11" s="14" t="s">
        <v>70</v>
      </c>
    </row>
    <row r="12" spans="1:14" ht="30" customHeight="1" x14ac:dyDescent="0.2">
      <c r="A12" s="18" t="s">
        <v>50</v>
      </c>
      <c r="B12" s="23" t="s">
        <v>65</v>
      </c>
      <c r="C12" s="19" t="s">
        <v>71</v>
      </c>
      <c r="D12" s="15" t="s">
        <v>25</v>
      </c>
      <c r="E12" s="20" t="s">
        <v>67</v>
      </c>
      <c r="F12" s="19" t="s">
        <v>37</v>
      </c>
      <c r="G12" s="19" t="s">
        <v>72</v>
      </c>
      <c r="H12" s="19" t="s">
        <v>73</v>
      </c>
      <c r="I12" s="20" t="s">
        <v>74</v>
      </c>
      <c r="J12" s="20">
        <v>5</v>
      </c>
      <c r="K12" s="20" t="s">
        <v>58</v>
      </c>
      <c r="L12" s="20" t="s">
        <v>62</v>
      </c>
      <c r="M12" s="17" t="s">
        <v>32</v>
      </c>
      <c r="N12" s="19" t="s">
        <v>75</v>
      </c>
    </row>
    <row r="13" spans="1:14" ht="30" customHeight="1" x14ac:dyDescent="0.2">
      <c r="A13" s="12" t="s">
        <v>44</v>
      </c>
      <c r="B13" s="23" t="s">
        <v>65</v>
      </c>
      <c r="C13" s="14" t="s">
        <v>76</v>
      </c>
      <c r="D13" s="15" t="s">
        <v>25</v>
      </c>
      <c r="E13" s="16" t="s">
        <v>67</v>
      </c>
      <c r="F13" s="14" t="s">
        <v>37</v>
      </c>
      <c r="G13" s="14" t="s">
        <v>77</v>
      </c>
      <c r="H13" s="14" t="s">
        <v>73</v>
      </c>
      <c r="I13" s="16" t="s">
        <v>74</v>
      </c>
      <c r="J13" s="16">
        <v>5</v>
      </c>
      <c r="K13" s="16" t="s">
        <v>58</v>
      </c>
      <c r="L13" s="16" t="s">
        <v>62</v>
      </c>
      <c r="M13" s="17" t="s">
        <v>32</v>
      </c>
      <c r="N13" s="14" t="s">
        <v>78</v>
      </c>
    </row>
    <row r="14" spans="1:14" ht="30" customHeight="1" x14ac:dyDescent="0.2">
      <c r="A14" s="18" t="s">
        <v>73</v>
      </c>
      <c r="B14" s="23" t="s">
        <v>65</v>
      </c>
      <c r="C14" s="19" t="s">
        <v>79</v>
      </c>
      <c r="D14" s="15" t="s">
        <v>25</v>
      </c>
      <c r="E14" s="20" t="s">
        <v>37</v>
      </c>
      <c r="F14" s="19" t="s">
        <v>67</v>
      </c>
      <c r="G14" s="19" t="s">
        <v>80</v>
      </c>
      <c r="H14" s="19" t="s">
        <v>61</v>
      </c>
      <c r="I14" s="20" t="s">
        <v>74</v>
      </c>
      <c r="J14" s="20">
        <v>8</v>
      </c>
      <c r="K14" s="20" t="s">
        <v>62</v>
      </c>
      <c r="L14" s="20" t="s">
        <v>81</v>
      </c>
      <c r="M14" s="17" t="s">
        <v>32</v>
      </c>
      <c r="N14" s="19" t="s">
        <v>82</v>
      </c>
    </row>
    <row r="15" spans="1:14" ht="30" customHeight="1" x14ac:dyDescent="0.2">
      <c r="A15" s="12" t="s">
        <v>61</v>
      </c>
      <c r="B15" s="23" t="s">
        <v>65</v>
      </c>
      <c r="C15" s="14" t="s">
        <v>83</v>
      </c>
      <c r="D15" s="15" t="s">
        <v>25</v>
      </c>
      <c r="E15" s="16" t="s">
        <v>67</v>
      </c>
      <c r="F15" s="14" t="s">
        <v>37</v>
      </c>
      <c r="G15" s="14" t="s">
        <v>84</v>
      </c>
      <c r="H15" s="14" t="s">
        <v>85</v>
      </c>
      <c r="I15" s="16" t="s">
        <v>86</v>
      </c>
      <c r="J15" s="16">
        <v>8</v>
      </c>
      <c r="K15" s="16" t="s">
        <v>81</v>
      </c>
      <c r="L15" s="16" t="s">
        <v>87</v>
      </c>
      <c r="M15" s="17" t="s">
        <v>32</v>
      </c>
      <c r="N15" s="14" t="s">
        <v>88</v>
      </c>
    </row>
    <row r="16" spans="1:14" ht="30" customHeight="1" x14ac:dyDescent="0.2">
      <c r="A16" s="18" t="s">
        <v>89</v>
      </c>
      <c r="B16" s="23" t="s">
        <v>65</v>
      </c>
      <c r="C16" s="19" t="s">
        <v>90</v>
      </c>
      <c r="D16" s="15" t="s">
        <v>25</v>
      </c>
      <c r="E16" s="20" t="s">
        <v>37</v>
      </c>
      <c r="F16" s="19" t="s">
        <v>67</v>
      </c>
      <c r="G16" s="19" t="s">
        <v>61</v>
      </c>
      <c r="H16" s="19" t="s">
        <v>91</v>
      </c>
      <c r="I16" s="20" t="s">
        <v>86</v>
      </c>
      <c r="J16" s="20">
        <v>8</v>
      </c>
      <c r="K16" s="20" t="s">
        <v>92</v>
      </c>
      <c r="L16" s="20" t="s">
        <v>93</v>
      </c>
      <c r="M16" s="17" t="s">
        <v>32</v>
      </c>
      <c r="N16" s="19" t="s">
        <v>94</v>
      </c>
    </row>
    <row r="17" spans="1:16" ht="30" customHeight="1" x14ac:dyDescent="0.2">
      <c r="A17" s="12" t="s">
        <v>95</v>
      </c>
      <c r="B17" s="23" t="s">
        <v>65</v>
      </c>
      <c r="C17" s="14" t="s">
        <v>96</v>
      </c>
      <c r="D17" s="21" t="s">
        <v>42</v>
      </c>
      <c r="E17" s="16" t="s">
        <v>67</v>
      </c>
      <c r="F17" s="14" t="s">
        <v>97</v>
      </c>
      <c r="G17" s="14" t="s">
        <v>61</v>
      </c>
      <c r="H17" s="14" t="s">
        <v>91</v>
      </c>
      <c r="I17" s="16" t="s">
        <v>86</v>
      </c>
      <c r="J17" s="16">
        <v>5</v>
      </c>
      <c r="K17" s="16" t="s">
        <v>92</v>
      </c>
      <c r="L17" s="16" t="s">
        <v>87</v>
      </c>
      <c r="M17" s="17" t="s">
        <v>32</v>
      </c>
      <c r="N17" s="14" t="s">
        <v>98</v>
      </c>
    </row>
    <row r="18" spans="1:16" ht="30" customHeight="1" x14ac:dyDescent="0.2">
      <c r="A18" s="18" t="s">
        <v>91</v>
      </c>
      <c r="B18" s="23" t="s">
        <v>65</v>
      </c>
      <c r="C18" s="19" t="s">
        <v>99</v>
      </c>
      <c r="D18" s="21" t="s">
        <v>42</v>
      </c>
      <c r="E18" s="20" t="s">
        <v>67</v>
      </c>
      <c r="F18" s="19" t="s">
        <v>37</v>
      </c>
      <c r="G18" s="19" t="s">
        <v>85</v>
      </c>
      <c r="H18" s="19" t="s">
        <v>100</v>
      </c>
      <c r="I18" s="20" t="s">
        <v>86</v>
      </c>
      <c r="J18" s="20">
        <v>5</v>
      </c>
      <c r="K18" s="20" t="s">
        <v>87</v>
      </c>
      <c r="L18" s="20" t="s">
        <v>93</v>
      </c>
      <c r="M18" s="17" t="s">
        <v>32</v>
      </c>
      <c r="N18" s="19" t="s">
        <v>101</v>
      </c>
    </row>
    <row r="19" spans="1:16" ht="30" customHeight="1" x14ac:dyDescent="0.2">
      <c r="A19" s="12" t="s">
        <v>100</v>
      </c>
      <c r="B19" s="23" t="s">
        <v>65</v>
      </c>
      <c r="C19" s="14" t="s">
        <v>102</v>
      </c>
      <c r="D19" s="21" t="s">
        <v>42</v>
      </c>
      <c r="E19" s="16" t="s">
        <v>67</v>
      </c>
      <c r="F19" s="14" t="s">
        <v>27</v>
      </c>
      <c r="G19" s="14" t="s">
        <v>91</v>
      </c>
      <c r="H19" s="14" t="s">
        <v>103</v>
      </c>
      <c r="I19" s="16" t="s">
        <v>104</v>
      </c>
      <c r="J19" s="16">
        <v>5</v>
      </c>
      <c r="K19" s="16" t="s">
        <v>93</v>
      </c>
      <c r="L19" s="16" t="s">
        <v>105</v>
      </c>
      <c r="M19" s="17" t="s">
        <v>32</v>
      </c>
      <c r="N19" s="14" t="s">
        <v>106</v>
      </c>
    </row>
    <row r="20" spans="1:16" ht="30" customHeight="1" x14ac:dyDescent="0.2">
      <c r="A20" s="18" t="s">
        <v>103</v>
      </c>
      <c r="B20" s="23" t="s">
        <v>65</v>
      </c>
      <c r="C20" s="19" t="s">
        <v>107</v>
      </c>
      <c r="D20" s="21" t="s">
        <v>42</v>
      </c>
      <c r="E20" s="20" t="s">
        <v>37</v>
      </c>
      <c r="F20" s="19" t="s">
        <v>108</v>
      </c>
      <c r="G20" s="19" t="s">
        <v>61</v>
      </c>
      <c r="H20" s="19" t="s">
        <v>109</v>
      </c>
      <c r="I20" s="20" t="s">
        <v>104</v>
      </c>
      <c r="J20" s="20">
        <v>8</v>
      </c>
      <c r="K20" s="20" t="s">
        <v>93</v>
      </c>
      <c r="L20" s="20" t="s">
        <v>110</v>
      </c>
      <c r="M20" s="17" t="s">
        <v>32</v>
      </c>
      <c r="N20" s="19" t="s">
        <v>111</v>
      </c>
    </row>
    <row r="21" spans="1:16" ht="30" customHeight="1" x14ac:dyDescent="0.2">
      <c r="A21" s="12" t="s">
        <v>109</v>
      </c>
      <c r="B21" s="23" t="s">
        <v>65</v>
      </c>
      <c r="C21" s="14" t="s">
        <v>112</v>
      </c>
      <c r="D21" s="21" t="s">
        <v>42</v>
      </c>
      <c r="E21" s="16" t="s">
        <v>37</v>
      </c>
      <c r="F21" s="14" t="s">
        <v>113</v>
      </c>
      <c r="G21" s="14" t="s">
        <v>114</v>
      </c>
      <c r="H21" s="14" t="s">
        <v>115</v>
      </c>
      <c r="I21" s="16" t="s">
        <v>104</v>
      </c>
      <c r="J21" s="16">
        <v>3</v>
      </c>
      <c r="K21" s="16" t="s">
        <v>110</v>
      </c>
      <c r="L21" s="16" t="s">
        <v>116</v>
      </c>
      <c r="M21" s="17" t="s">
        <v>32</v>
      </c>
      <c r="N21" s="14" t="s">
        <v>117</v>
      </c>
    </row>
    <row r="22" spans="1:16" ht="30" customHeight="1" x14ac:dyDescent="0.2">
      <c r="A22" s="18" t="s">
        <v>115</v>
      </c>
      <c r="B22" s="23" t="s">
        <v>65</v>
      </c>
      <c r="C22" s="19" t="s">
        <v>118</v>
      </c>
      <c r="D22" s="15" t="s">
        <v>25</v>
      </c>
      <c r="E22" s="20" t="s">
        <v>36</v>
      </c>
      <c r="F22" s="19" t="s">
        <v>119</v>
      </c>
      <c r="G22" s="19" t="s">
        <v>109</v>
      </c>
      <c r="H22" s="19"/>
      <c r="I22" s="20" t="s">
        <v>104</v>
      </c>
      <c r="J22" s="20">
        <v>3</v>
      </c>
      <c r="K22" s="20" t="s">
        <v>116</v>
      </c>
      <c r="L22" s="20" t="s">
        <v>120</v>
      </c>
      <c r="M22" s="17" t="s">
        <v>32</v>
      </c>
      <c r="N22" s="19" t="s">
        <v>121</v>
      </c>
    </row>
    <row r="25" spans="1:16" ht="21.75" customHeight="1" x14ac:dyDescent="0.2">
      <c r="A25" s="4" t="s">
        <v>122</v>
      </c>
      <c r="B25" s="4"/>
      <c r="C25" s="4"/>
      <c r="D25" s="4"/>
    </row>
    <row r="26" spans="1:16" ht="15" customHeight="1" x14ac:dyDescent="0.2">
      <c r="A26" s="3" t="s">
        <v>123</v>
      </c>
      <c r="B26" s="3"/>
      <c r="C26" s="3" t="s">
        <v>124</v>
      </c>
      <c r="D26" s="3"/>
      <c r="E26" s="3" t="s">
        <v>125</v>
      </c>
      <c r="F26" s="3"/>
      <c r="G26" s="3" t="s">
        <v>126</v>
      </c>
      <c r="H26" s="3"/>
      <c r="I26" s="3" t="s">
        <v>127</v>
      </c>
      <c r="J26" s="3"/>
      <c r="K26" s="3" t="s">
        <v>32</v>
      </c>
      <c r="L26" s="3"/>
      <c r="M26" s="3" t="s">
        <v>128</v>
      </c>
      <c r="N26" s="3"/>
      <c r="O26" s="3" t="s">
        <v>129</v>
      </c>
      <c r="P26" s="3"/>
    </row>
    <row r="27" spans="1:16" ht="25.5" customHeight="1" x14ac:dyDescent="0.2">
      <c r="A27" s="2">
        <f>COUNTA(A5:A22)</f>
        <v>18</v>
      </c>
      <c r="B27" s="2"/>
      <c r="C27" s="2">
        <f>SUM(J5:J22)</f>
        <v>92</v>
      </c>
      <c r="D27" s="2"/>
      <c r="E27" s="2">
        <f>COUNTIF(B5:B22,"DG Req")</f>
        <v>5</v>
      </c>
      <c r="F27" s="2"/>
      <c r="G27" s="2">
        <f>COUNTIF(B5:B22,"Pilot")</f>
        <v>1</v>
      </c>
      <c r="H27" s="2"/>
      <c r="I27" s="2">
        <f>COUNTIF(B5:B22,"Story")</f>
        <v>12</v>
      </c>
      <c r="J27" s="2"/>
      <c r="K27" s="2">
        <f>COUNTIF(M5:M22,"Not Started")</f>
        <v>18</v>
      </c>
      <c r="L27" s="2"/>
      <c r="M27" s="2">
        <f>COUNTIF(M5:M22,"In Progress")</f>
        <v>0</v>
      </c>
      <c r="N27" s="2"/>
      <c r="O27" s="2">
        <f>COUNTIF(M5:M22,"Blocked")</f>
        <v>0</v>
      </c>
      <c r="P27" s="2"/>
    </row>
  </sheetData>
  <mergeCells count="25">
    <mergeCell ref="I26:J26"/>
    <mergeCell ref="K26:L26"/>
    <mergeCell ref="M26:N26"/>
    <mergeCell ref="O26:P26"/>
    <mergeCell ref="A27:B27"/>
    <mergeCell ref="C27:D27"/>
    <mergeCell ref="E27:F27"/>
    <mergeCell ref="G27:H27"/>
    <mergeCell ref="I27:J27"/>
    <mergeCell ref="K27:L27"/>
    <mergeCell ref="M27:N27"/>
    <mergeCell ref="O27:P27"/>
    <mergeCell ref="A25:D25"/>
    <mergeCell ref="A26:B26"/>
    <mergeCell ref="C26:D26"/>
    <mergeCell ref="E26:F26"/>
    <mergeCell ref="G26:H26"/>
    <mergeCell ref="A1:N1"/>
    <mergeCell ref="A2:D2"/>
    <mergeCell ref="E2:I2"/>
    <mergeCell ref="J2:N2"/>
    <mergeCell ref="A3:B3"/>
    <mergeCell ref="C3:D3"/>
    <mergeCell ref="E3:F3"/>
    <mergeCell ref="G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16" customWidth="1"/>
    <col min="2" max="2" width="42" customWidth="1"/>
    <col min="3" max="3" width="12" customWidth="1"/>
    <col min="4" max="5" width="38" customWidth="1"/>
    <col min="6" max="6" width="16" customWidth="1"/>
  </cols>
  <sheetData>
    <row r="1" spans="1:6" ht="30" customHeight="1" x14ac:dyDescent="0.2">
      <c r="A1" s="1" t="s">
        <v>130</v>
      </c>
      <c r="B1" s="1"/>
      <c r="C1" s="1"/>
      <c r="D1" s="1"/>
      <c r="E1" s="1"/>
      <c r="F1" s="1"/>
    </row>
    <row r="2" spans="1:6" ht="21.75" customHeight="1" x14ac:dyDescent="0.2">
      <c r="A2" s="11" t="s">
        <v>8</v>
      </c>
      <c r="B2" s="11" t="s">
        <v>10</v>
      </c>
      <c r="C2" s="11" t="s">
        <v>9</v>
      </c>
      <c r="D2" s="11" t="s">
        <v>131</v>
      </c>
      <c r="E2" s="11" t="s">
        <v>132</v>
      </c>
      <c r="F2" s="11" t="s">
        <v>12</v>
      </c>
    </row>
    <row r="3" spans="1:6" ht="25.5" customHeight="1" x14ac:dyDescent="0.2">
      <c r="A3" s="16" t="s">
        <v>22</v>
      </c>
      <c r="B3" s="14" t="s">
        <v>133</v>
      </c>
      <c r="C3" s="13" t="s">
        <v>23</v>
      </c>
      <c r="D3" s="14" t="s">
        <v>134</v>
      </c>
      <c r="E3" s="14" t="s">
        <v>135</v>
      </c>
      <c r="F3" s="16" t="s">
        <v>26</v>
      </c>
    </row>
    <row r="4" spans="1:6" ht="25.5" customHeight="1" x14ac:dyDescent="0.2">
      <c r="A4" s="20" t="s">
        <v>34</v>
      </c>
      <c r="B4" s="19" t="s">
        <v>136</v>
      </c>
      <c r="C4" s="13" t="s">
        <v>23</v>
      </c>
      <c r="D4" s="19" t="s">
        <v>134</v>
      </c>
      <c r="E4" s="19" t="s">
        <v>137</v>
      </c>
      <c r="F4" s="20" t="s">
        <v>36</v>
      </c>
    </row>
    <row r="5" spans="1:6" ht="25.5" customHeight="1" x14ac:dyDescent="0.2">
      <c r="A5" s="16" t="s">
        <v>40</v>
      </c>
      <c r="B5" s="14" t="s">
        <v>138</v>
      </c>
      <c r="C5" s="13" t="s">
        <v>23</v>
      </c>
      <c r="D5" s="14" t="s">
        <v>134</v>
      </c>
      <c r="E5" s="14" t="s">
        <v>44</v>
      </c>
      <c r="F5" s="16" t="s">
        <v>43</v>
      </c>
    </row>
    <row r="6" spans="1:6" ht="25.5" customHeight="1" x14ac:dyDescent="0.2">
      <c r="A6" s="20" t="s">
        <v>47</v>
      </c>
      <c r="B6" s="19" t="s">
        <v>139</v>
      </c>
      <c r="C6" s="13" t="s">
        <v>23</v>
      </c>
      <c r="D6" s="19" t="s">
        <v>134</v>
      </c>
      <c r="E6" s="19" t="s">
        <v>50</v>
      </c>
      <c r="F6" s="20" t="s">
        <v>140</v>
      </c>
    </row>
    <row r="7" spans="1:6" ht="25.5" customHeight="1" x14ac:dyDescent="0.2">
      <c r="A7" s="16" t="s">
        <v>52</v>
      </c>
      <c r="B7" s="14" t="s">
        <v>141</v>
      </c>
      <c r="C7" s="22" t="s">
        <v>53</v>
      </c>
      <c r="D7" s="14" t="s">
        <v>142</v>
      </c>
      <c r="E7" s="14" t="s">
        <v>56</v>
      </c>
      <c r="F7" s="16" t="s">
        <v>143</v>
      </c>
    </row>
    <row r="8" spans="1:6" ht="25.5" customHeight="1" x14ac:dyDescent="0.2">
      <c r="A8" s="20" t="s">
        <v>56</v>
      </c>
      <c r="B8" s="19" t="s">
        <v>144</v>
      </c>
      <c r="C8" s="13" t="s">
        <v>23</v>
      </c>
      <c r="D8" s="19" t="s">
        <v>52</v>
      </c>
      <c r="E8" s="19" t="s">
        <v>145</v>
      </c>
      <c r="F8" s="20" t="s">
        <v>36</v>
      </c>
    </row>
    <row r="9" spans="1:6" ht="25.5" customHeight="1" x14ac:dyDescent="0.2">
      <c r="A9" s="16" t="s">
        <v>64</v>
      </c>
      <c r="B9" s="14" t="s">
        <v>146</v>
      </c>
      <c r="C9" s="23" t="s">
        <v>65</v>
      </c>
      <c r="D9" s="14" t="s">
        <v>142</v>
      </c>
      <c r="E9" s="14" t="s">
        <v>147</v>
      </c>
      <c r="F9" s="16" t="s">
        <v>37</v>
      </c>
    </row>
    <row r="10" spans="1:6" ht="25.5" customHeight="1" x14ac:dyDescent="0.2">
      <c r="A10" s="20" t="s">
        <v>50</v>
      </c>
      <c r="B10" s="19" t="s">
        <v>148</v>
      </c>
      <c r="C10" s="23" t="s">
        <v>65</v>
      </c>
      <c r="D10" s="19" t="s">
        <v>149</v>
      </c>
      <c r="E10" s="19" t="s">
        <v>73</v>
      </c>
      <c r="F10" s="20" t="s">
        <v>67</v>
      </c>
    </row>
    <row r="11" spans="1:6" ht="25.5" customHeight="1" x14ac:dyDescent="0.2">
      <c r="A11" s="16" t="s">
        <v>44</v>
      </c>
      <c r="B11" s="14" t="s">
        <v>150</v>
      </c>
      <c r="C11" s="23" t="s">
        <v>65</v>
      </c>
      <c r="D11" s="14" t="s">
        <v>151</v>
      </c>
      <c r="E11" s="14" t="s">
        <v>73</v>
      </c>
      <c r="F11" s="16" t="s">
        <v>67</v>
      </c>
    </row>
    <row r="12" spans="1:6" ht="25.5" customHeight="1" x14ac:dyDescent="0.2">
      <c r="A12" s="20" t="s">
        <v>73</v>
      </c>
      <c r="B12" s="19" t="s">
        <v>152</v>
      </c>
      <c r="C12" s="23" t="s">
        <v>65</v>
      </c>
      <c r="D12" s="19" t="s">
        <v>153</v>
      </c>
      <c r="E12" s="19" t="s">
        <v>61</v>
      </c>
      <c r="F12" s="20" t="s">
        <v>37</v>
      </c>
    </row>
    <row r="13" spans="1:6" ht="25.5" customHeight="1" x14ac:dyDescent="0.2">
      <c r="A13" s="16" t="s">
        <v>61</v>
      </c>
      <c r="B13" s="14" t="s">
        <v>154</v>
      </c>
      <c r="C13" s="23" t="s">
        <v>65</v>
      </c>
      <c r="D13" s="14" t="s">
        <v>155</v>
      </c>
      <c r="E13" s="14" t="s">
        <v>156</v>
      </c>
      <c r="F13" s="16" t="s">
        <v>67</v>
      </c>
    </row>
    <row r="14" spans="1:6" ht="25.5" customHeight="1" x14ac:dyDescent="0.2">
      <c r="A14" s="20" t="s">
        <v>89</v>
      </c>
      <c r="B14" s="19" t="s">
        <v>157</v>
      </c>
      <c r="C14" s="23" t="s">
        <v>65</v>
      </c>
      <c r="D14" s="19" t="s">
        <v>61</v>
      </c>
      <c r="E14" s="19" t="s">
        <v>91</v>
      </c>
      <c r="F14" s="20" t="s">
        <v>37</v>
      </c>
    </row>
    <row r="15" spans="1:6" ht="25.5" customHeight="1" x14ac:dyDescent="0.2">
      <c r="A15" s="16" t="s">
        <v>95</v>
      </c>
      <c r="B15" s="14" t="s">
        <v>158</v>
      </c>
      <c r="C15" s="23" t="s">
        <v>65</v>
      </c>
      <c r="D15" s="14" t="s">
        <v>61</v>
      </c>
      <c r="E15" s="14" t="s">
        <v>91</v>
      </c>
      <c r="F15" s="16" t="s">
        <v>67</v>
      </c>
    </row>
    <row r="16" spans="1:6" ht="25.5" customHeight="1" x14ac:dyDescent="0.2">
      <c r="A16" s="20" t="s">
        <v>91</v>
      </c>
      <c r="B16" s="19" t="s">
        <v>99</v>
      </c>
      <c r="C16" s="23" t="s">
        <v>65</v>
      </c>
      <c r="D16" s="19" t="s">
        <v>156</v>
      </c>
      <c r="E16" s="19" t="s">
        <v>100</v>
      </c>
      <c r="F16" s="20" t="s">
        <v>67</v>
      </c>
    </row>
    <row r="17" spans="1:6" ht="25.5" customHeight="1" x14ac:dyDescent="0.2">
      <c r="A17" s="16" t="s">
        <v>100</v>
      </c>
      <c r="B17" s="14" t="s">
        <v>159</v>
      </c>
      <c r="C17" s="23" t="s">
        <v>65</v>
      </c>
      <c r="D17" s="14" t="s">
        <v>91</v>
      </c>
      <c r="E17" s="14" t="s">
        <v>103</v>
      </c>
      <c r="F17" s="16" t="s">
        <v>67</v>
      </c>
    </row>
    <row r="18" spans="1:6" ht="25.5" customHeight="1" x14ac:dyDescent="0.2">
      <c r="A18" s="20" t="s">
        <v>103</v>
      </c>
      <c r="B18" s="19" t="s">
        <v>107</v>
      </c>
      <c r="C18" s="23" t="s">
        <v>65</v>
      </c>
      <c r="D18" s="19" t="s">
        <v>61</v>
      </c>
      <c r="E18" s="19" t="s">
        <v>109</v>
      </c>
      <c r="F18" s="20" t="s">
        <v>37</v>
      </c>
    </row>
    <row r="19" spans="1:6" ht="25.5" customHeight="1" x14ac:dyDescent="0.2">
      <c r="A19" s="16" t="s">
        <v>109</v>
      </c>
      <c r="B19" s="14" t="s">
        <v>160</v>
      </c>
      <c r="C19" s="23" t="s">
        <v>65</v>
      </c>
      <c r="D19" s="14" t="s">
        <v>161</v>
      </c>
      <c r="E19" s="14" t="s">
        <v>115</v>
      </c>
      <c r="F19" s="16" t="s">
        <v>37</v>
      </c>
    </row>
    <row r="20" spans="1:6" ht="25.5" customHeight="1" x14ac:dyDescent="0.2">
      <c r="A20" s="20" t="s">
        <v>115</v>
      </c>
      <c r="B20" s="19" t="s">
        <v>162</v>
      </c>
      <c r="C20" s="23" t="s">
        <v>65</v>
      </c>
      <c r="D20" s="19" t="s">
        <v>109</v>
      </c>
      <c r="E20" s="19" t="s">
        <v>163</v>
      </c>
      <c r="F20" s="20" t="s">
        <v>36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4" customWidth="1"/>
    <col min="2" max="2" width="60" customWidth="1"/>
    <col min="3" max="4" width="20" customWidth="1"/>
    <col min="5" max="5" width="14" customWidth="1"/>
  </cols>
  <sheetData>
    <row r="1" spans="1:5" ht="30" customHeight="1" x14ac:dyDescent="0.2">
      <c r="A1" s="1" t="s">
        <v>164</v>
      </c>
      <c r="B1" s="1"/>
      <c r="C1" s="1"/>
      <c r="D1" s="1"/>
      <c r="E1" s="1"/>
    </row>
    <row r="2" spans="1:5" ht="21.75" customHeight="1" x14ac:dyDescent="0.2">
      <c r="A2" s="11" t="s">
        <v>165</v>
      </c>
      <c r="B2" s="11" t="s">
        <v>166</v>
      </c>
      <c r="C2" s="11" t="s">
        <v>12</v>
      </c>
      <c r="D2" s="11" t="s">
        <v>167</v>
      </c>
      <c r="E2" s="11" t="s">
        <v>20</v>
      </c>
    </row>
    <row r="3" spans="1:5" ht="27.75" customHeight="1" x14ac:dyDescent="0.2">
      <c r="A3" s="16">
        <v>1</v>
      </c>
      <c r="B3" s="14" t="s">
        <v>168</v>
      </c>
      <c r="C3" s="14" t="s">
        <v>26</v>
      </c>
      <c r="D3" s="14" t="s">
        <v>22</v>
      </c>
      <c r="E3" s="21" t="s">
        <v>169</v>
      </c>
    </row>
    <row r="4" spans="1:5" ht="27.75" customHeight="1" x14ac:dyDescent="0.2">
      <c r="A4" s="20">
        <v>2</v>
      </c>
      <c r="B4" s="19" t="s">
        <v>170</v>
      </c>
      <c r="C4" s="19" t="s">
        <v>171</v>
      </c>
      <c r="D4" s="19" t="s">
        <v>52</v>
      </c>
      <c r="E4" s="21" t="s">
        <v>169</v>
      </c>
    </row>
    <row r="5" spans="1:5" ht="27.75" customHeight="1" x14ac:dyDescent="0.2">
      <c r="A5" s="16">
        <v>3</v>
      </c>
      <c r="B5" s="14" t="s">
        <v>172</v>
      </c>
      <c r="C5" s="14" t="s">
        <v>36</v>
      </c>
      <c r="D5" s="14" t="s">
        <v>34</v>
      </c>
      <c r="E5" s="21" t="s">
        <v>169</v>
      </c>
    </row>
    <row r="6" spans="1:5" ht="27.75" customHeight="1" x14ac:dyDescent="0.2">
      <c r="A6" s="20">
        <v>4</v>
      </c>
      <c r="B6" s="19" t="s">
        <v>173</v>
      </c>
      <c r="C6" s="19" t="s">
        <v>174</v>
      </c>
      <c r="D6" s="19" t="s">
        <v>40</v>
      </c>
      <c r="E6" s="21" t="s">
        <v>169</v>
      </c>
    </row>
    <row r="7" spans="1:5" ht="27.75" customHeight="1" x14ac:dyDescent="0.2">
      <c r="A7" s="16">
        <v>5</v>
      </c>
      <c r="B7" s="14" t="s">
        <v>175</v>
      </c>
      <c r="C7" s="14" t="s">
        <v>140</v>
      </c>
      <c r="D7" s="14" t="s">
        <v>47</v>
      </c>
      <c r="E7" s="21" t="s">
        <v>169</v>
      </c>
    </row>
    <row r="8" spans="1:5" ht="27.75" customHeight="1" x14ac:dyDescent="0.2">
      <c r="A8" s="20">
        <v>6</v>
      </c>
      <c r="B8" s="19" t="s">
        <v>176</v>
      </c>
      <c r="C8" s="19" t="s">
        <v>177</v>
      </c>
      <c r="D8" s="19" t="s">
        <v>109</v>
      </c>
      <c r="E8" s="21" t="s">
        <v>169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Story Tracker</vt:lpstr>
      <vt:lpstr>Dependency Map</vt:lpstr>
      <vt:lpstr>Action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Paulam Basu</cp:lastModifiedBy>
  <cp:revision>0</cp:revision>
  <dcterms:created xsi:type="dcterms:W3CDTF">2026-04-01T08:25:06Z</dcterms:created>
  <dcterms:modified xsi:type="dcterms:W3CDTF">2026-04-01T17:14:05Z</dcterms:modified>
  <dc:language>en-US</dc:language>
</cp:coreProperties>
</file>